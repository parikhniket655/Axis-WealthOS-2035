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ASSUMPTIONS" sheetId="1" state="visible" r:id="rId1"/>
    <sheet xmlns:r="http://schemas.openxmlformats.org/officeDocument/2006/relationships" name="KEY_IMPACT_KPIs" sheetId="2" state="visible" r:id="rId2"/>
    <sheet xmlns:r="http://schemas.openxmlformats.org/officeDocument/2006/relationships" name="PHASED_ROLLOUT" sheetId="3" state="visible" r:id="rId3"/>
    <sheet xmlns:r="http://schemas.openxmlformats.org/officeDocument/2006/relationships" name="PROJECT_ECONOMIC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TRAINING_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%"/>
    <numFmt numFmtId="166" formatCode="₹#,##0"/>
    <numFmt numFmtId="167" formatCode="₹#,##0.00 Cr"/>
  </numFmts>
  <fonts count="7">
    <font>
      <name val="Calibri"/>
      <family val="2"/>
      <color theme="1"/>
      <sz val="11"/>
      <scheme val="minor"/>
    </font>
    <font>
      <name val="Segoe UI"/>
      <b val="1"/>
      <color rgb="00861F41"/>
      <sz val="16"/>
    </font>
    <font>
      <name val="Segoe UI"/>
      <i val="1"/>
      <color rgb="00727272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861F41"/>
      <sz val="11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861F41"/>
        <bgColor rgb="00861F41"/>
      </patternFill>
    </fill>
    <fill>
      <patternFill patternType="solid">
        <fgColor rgb="00FFFFCC"/>
        <bgColor rgb="00FFFFCC"/>
      </patternFill>
    </fill>
    <fill>
      <patternFill patternType="solid">
        <fgColor rgb="00F9F5F6"/>
        <bgColor rgb="00F9F5F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165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0" pivotButton="0" quotePrefix="0" xfId="0"/>
    <xf numFmtId="3" fontId="4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6" fillId="5" borderId="0" pivotButton="0" quotePrefix="0" xfId="0"/>
    <xf numFmtId="164" fontId="6" fillId="5" borderId="1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7" fontId="6" fillId="5" borderId="1" pivotButton="0" quotePrefix="0" xfId="0"/>
    <xf numFmtId="165" fontId="6" fillId="5" borderId="1" pivotButton="0" quotePrefix="0" xfId="0"/>
    <xf numFmtId="0" fontId="6" fillId="5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11" customWidth="1" min="2" max="2"/>
    <col width="14" customWidth="1" min="3" max="3"/>
    <col width="26" customWidth="1" min="4" max="4"/>
    <col width="70" customWidth="1" min="5" max="5"/>
  </cols>
  <sheetData>
    <row r="1">
      <c r="A1" s="1" t="inlineStr">
        <is>
          <t>Axis WealthOS 2035 — Slide-Matched Feasibility Workbook</t>
        </is>
      </c>
    </row>
    <row r="2">
      <c r="A2" s="2" t="inlineStr">
        <is>
          <t>This sheet contains driver inputs matching the official 'Team Idea Matrix' slides. Yellow cells are editable.</t>
        </is>
      </c>
    </row>
    <row r="3"/>
    <row r="4">
      <c r="A4" s="3" t="inlineStr">
        <is>
          <t>Operational 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 / Slide Matching</t>
        </is>
      </c>
      <c r="E4" s="3" t="inlineStr">
        <is>
          <t>Description</t>
        </is>
      </c>
    </row>
    <row r="5">
      <c r="A5" s="4" t="inlineStr">
        <is>
          <t>Total Burgundy AUM</t>
        </is>
      </c>
      <c r="B5" s="5" t="n">
        <v>6.78</v>
      </c>
      <c r="C5" s="6" t="inlineStr">
        <is>
          <t>₹ Trillion</t>
        </is>
      </c>
      <c r="D5" s="4" t="inlineStr">
        <is>
          <t>Slide 1, Section 5</t>
        </is>
      </c>
      <c r="E5" s="4" t="inlineStr">
        <is>
          <t>Total wealth assets under management for Burgundy (FY26).</t>
        </is>
      </c>
    </row>
    <row r="6">
      <c r="A6" s="4" t="inlineStr">
        <is>
          <t>Burgundy Private AUM</t>
        </is>
      </c>
      <c r="B6" s="5" t="n">
        <v>2.4</v>
      </c>
      <c r="C6" s="6" t="inlineStr">
        <is>
          <t>₹ Trillion</t>
        </is>
      </c>
      <c r="D6" s="4" t="inlineStr">
        <is>
          <t>Slide 1, Section 5</t>
        </is>
      </c>
      <c r="E6" s="4" t="inlineStr">
        <is>
          <t>Total wealth assets for Burgundy Private segment (FY26).</t>
        </is>
      </c>
    </row>
    <row r="7">
      <c r="A7" s="4" t="inlineStr">
        <is>
          <t>Customer Scale Base</t>
        </is>
      </c>
      <c r="B7" s="7" t="n">
        <v>59000000</v>
      </c>
      <c r="C7" s="6" t="inlineStr">
        <is>
          <t>Customers</t>
        </is>
      </c>
      <c r="D7" s="4" t="inlineStr">
        <is>
          <t>Slide 1, Section 5</t>
        </is>
      </c>
      <c r="E7" s="4" t="inlineStr">
        <is>
          <t>Total retail/affluent customer base of Axis Bank.</t>
        </is>
      </c>
    </row>
    <row r="8">
      <c r="A8" s="4" t="inlineStr">
        <is>
          <t>Digital Adoption Rate</t>
        </is>
      </c>
      <c r="B8" s="8" t="n">
        <v>0.74</v>
      </c>
      <c r="C8" s="6" t="inlineStr">
        <is>
          <t>Percentage</t>
        </is>
      </c>
      <c r="D8" s="4" t="inlineStr">
        <is>
          <t>Slide 1, Section 5</t>
        </is>
      </c>
      <c r="E8" s="4" t="inlineStr">
        <is>
          <t>Percentage of service requests handled digitally.</t>
        </is>
      </c>
    </row>
    <row r="9">
      <c r="A9" s="4" t="inlineStr">
        <is>
          <t>Base RM Capacity (Pre-WealthOS)</t>
        </is>
      </c>
      <c r="B9" s="7" t="n">
        <v>80</v>
      </c>
      <c r="C9" s="6" t="inlineStr">
        <is>
          <t>Clients/RM</t>
        </is>
      </c>
      <c r="D9" s="4" t="inlineStr">
        <is>
          <t>Slide 2, Section 6</t>
        </is>
      </c>
      <c r="E9" s="4" t="inlineStr">
        <is>
          <t>Average number of client accounts managed per relationship manager.</t>
        </is>
      </c>
    </row>
    <row r="10">
      <c r="A10" s="4" t="inlineStr">
        <is>
          <t>Baseline Cost-to-Serve</t>
        </is>
      </c>
      <c r="B10" s="7" t="n">
        <v>15000</v>
      </c>
      <c r="C10" s="6" t="inlineStr">
        <is>
          <t>₹/Client/Yr</t>
        </is>
      </c>
      <c r="D10" s="4" t="inlineStr">
        <is>
          <t>Slide 2, Section 6</t>
        </is>
      </c>
      <c r="E10" s="4" t="inlineStr">
        <is>
          <t>Average manual operational cost to serve a Burgundy client.</t>
        </is>
      </c>
    </row>
    <row r="11">
      <c r="A11" s="4" t="inlineStr">
        <is>
          <t>WACC (Discount Rate)</t>
        </is>
      </c>
      <c r="B11" s="8" t="n">
        <v>0.12</v>
      </c>
      <c r="C11" s="6" t="inlineStr">
        <is>
          <t>Percentage</t>
        </is>
      </c>
      <c r="D11" s="4" t="inlineStr">
        <is>
          <t>Corporate standard</t>
        </is>
      </c>
      <c r="E11" s="4" t="inlineStr">
        <is>
          <t>Cost of capital for private sector technology projects.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21" customWidth="1" min="3" max="3"/>
    <col width="21" customWidth="1" min="4" max="4"/>
    <col width="29" customWidth="1" min="5" max="5"/>
    <col width="39" customWidth="1" min="6" max="6"/>
  </cols>
  <sheetData>
    <row r="1">
      <c r="A1" s="9" t="inlineStr">
        <is>
          <t>Key Impact KPIs — Matching Slide 2 Section 6</t>
        </is>
      </c>
    </row>
    <row r="2"/>
    <row r="3">
      <c r="A3" s="3" t="inlineStr">
        <is>
          <t>Impact Dimension</t>
        </is>
      </c>
      <c r="B3" s="3" t="inlineStr">
        <is>
          <t>Baseline</t>
        </is>
      </c>
      <c r="C3" s="3" t="inlineStr">
        <is>
          <t>Pilot State (Y1-2)</t>
        </is>
      </c>
      <c r="D3" s="3" t="inlineStr">
        <is>
          <t>Mature State (Y3+)</t>
        </is>
      </c>
      <c r="E3" s="3" t="inlineStr">
        <is>
          <t>PPT Slide 2 Reference</t>
        </is>
      </c>
      <c r="F3" s="3" t="inlineStr">
        <is>
          <t>Derivation / Formulas</t>
        </is>
      </c>
    </row>
    <row r="4">
      <c r="A4" s="4" t="inlineStr">
        <is>
          <t>Advisor Capacity (Increase)</t>
        </is>
      </c>
      <c r="B4" s="10" t="n">
        <v>0</v>
      </c>
      <c r="C4" s="10" t="n">
        <v>0.15</v>
      </c>
      <c r="D4" s="10" t="n">
        <v>0.25</v>
      </c>
      <c r="E4" s="11" t="inlineStr">
        <is>
          <t>15% -&gt; 25% Capacity</t>
        </is>
      </c>
      <c r="F4" s="4">
        <f>Baseline * (1 + Pilot/Mature)</f>
        <v/>
      </c>
    </row>
    <row r="5">
      <c r="A5" s="4" t="inlineStr">
        <is>
          <t>Cost-to-Serve (Decrease)</t>
        </is>
      </c>
      <c r="B5" s="10" t="n">
        <v>0</v>
      </c>
      <c r="C5" s="10" t="n">
        <v>-0.12</v>
      </c>
      <c r="D5" s="10" t="n">
        <v>-0.18</v>
      </c>
      <c r="E5" s="11" t="inlineStr">
        <is>
          <t>-12% -&gt; -18% Cost-to-Serve</t>
        </is>
      </c>
      <c r="F5" s="4">
        <f>Baseline * (1 + Pilot/Mature)</f>
        <v/>
      </c>
    </row>
    <row r="6">
      <c r="A6" s="4" t="inlineStr">
        <is>
          <t>Migration Churn Rate</t>
        </is>
      </c>
      <c r="B6" s="10" t="n">
        <v>0.005</v>
      </c>
      <c r="C6" s="10" t="n">
        <v>0.008</v>
      </c>
      <c r="D6" s="10" t="n">
        <v>0.02</v>
      </c>
      <c r="E6" s="11" t="inlineStr">
        <is>
          <t>&lt;1% -&gt; 2% Churn</t>
        </is>
      </c>
      <c r="F6" s="4" t="inlineStr">
        <is>
          <t>Direct PPT match</t>
        </is>
      </c>
    </row>
    <row r="7">
      <c r="A7" s="4" t="inlineStr">
        <is>
          <t>Training Inv. (per 100 Emps)</t>
        </is>
      </c>
      <c r="B7" s="12" t="n">
        <v>0</v>
      </c>
      <c r="C7" s="12" t="n">
        <v>4300000</v>
      </c>
      <c r="D7" s="12" t="n">
        <v>6700000</v>
      </c>
      <c r="E7" s="11" t="inlineStr">
        <is>
          <t>₹43L -&gt; ₹67L Investment</t>
        </is>
      </c>
      <c r="F7" s="4" t="inlineStr">
        <is>
          <t>Direct PPT match</t>
        </is>
      </c>
    </row>
    <row r="8">
      <c r="A8" s="4" t="inlineStr">
        <is>
          <t>Wallet Share (Increase)</t>
        </is>
      </c>
      <c r="B8" s="10" t="n">
        <v>0.18</v>
      </c>
      <c r="C8" s="10" t="n">
        <v>0.1</v>
      </c>
      <c r="D8" s="10" t="n">
        <v>0.3</v>
      </c>
      <c r="E8" s="11" t="inlineStr">
        <is>
          <t>+10% -&gt; +30% Wallet Share</t>
        </is>
      </c>
      <c r="F8" s="4" t="inlineStr">
        <is>
          <t>Target incremental wallet share lift</t>
        </is>
      </c>
    </row>
    <row r="9"/>
    <row r="10">
      <c r="A10" s="13" t="inlineStr">
        <is>
          <t>Derived Absolute Metrics:</t>
        </is>
      </c>
    </row>
    <row r="11">
      <c r="A11" s="14" t="inlineStr">
        <is>
          <t>• Advisor Capacity (Accounts/RM)</t>
        </is>
      </c>
      <c r="B11" s="15">
        <f>README_ASSUMPTIONS!B9</f>
        <v/>
      </c>
      <c r="C11" s="16">
        <f>B11*(1+C4)</f>
        <v/>
      </c>
      <c r="D11" s="16">
        <f>B11*(1+D4)</f>
        <v/>
      </c>
    </row>
    <row r="12">
      <c r="A12" s="14" t="inlineStr">
        <is>
          <t>• Cost-to-Serve per Client</t>
        </is>
      </c>
      <c r="B12" s="12">
        <f>README_ASSUMPTIONS!B10</f>
        <v/>
      </c>
      <c r="C12" s="17">
        <f>B12*(1+C5)</f>
        <v/>
      </c>
      <c r="D12" s="17">
        <f>B12*(1+D5)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1" customWidth="1" min="2" max="2"/>
    <col width="20" customWidth="1" min="3" max="3"/>
    <col width="41" customWidth="1" min="4" max="4"/>
    <col width="37" customWidth="1" min="5" max="5"/>
  </cols>
  <sheetData>
    <row r="1">
      <c r="A1" s="9" t="inlineStr">
        <is>
          <t>Enterprise Rollout Phasing — Matching Slide 2 Section 5</t>
        </is>
      </c>
    </row>
    <row r="2"/>
    <row r="3">
      <c r="A3" s="3" t="inlineStr">
        <is>
          <t>Rollout Phase</t>
        </is>
      </c>
      <c r="B3" s="3" t="inlineStr">
        <is>
          <t>Target Segment</t>
        </is>
      </c>
      <c r="C3" s="3" t="inlineStr">
        <is>
          <t>Target Households</t>
        </is>
      </c>
      <c r="D3" s="3" t="inlineStr">
        <is>
          <t>Technology Focus</t>
        </is>
      </c>
      <c r="E3" s="3" t="inlineStr">
        <is>
          <t>Target Metric Focus</t>
        </is>
      </c>
    </row>
    <row r="4">
      <c r="A4" s="4" t="inlineStr">
        <is>
          <t>1) 2025-26</t>
        </is>
      </c>
      <c r="B4" s="4" t="inlineStr">
        <is>
          <t>Burgundy Private (Pilot)</t>
        </is>
      </c>
      <c r="C4" s="16" t="n">
        <v>500</v>
      </c>
      <c r="D4" s="4" t="inlineStr">
        <is>
          <t>Wealth Twin + AA (SPARSH Pilot)</t>
        </is>
      </c>
      <c r="E4" s="4" t="inlineStr">
        <is>
          <t>NPS Adoption &amp; RM Productivity</t>
        </is>
      </c>
    </row>
    <row r="5">
      <c r="A5" s="4" t="inlineStr">
        <is>
          <t>2) 2026-27</t>
        </is>
      </c>
      <c r="B5" s="4" t="inlineStr">
        <is>
          <t>Burgundy (Scale)</t>
        </is>
      </c>
      <c r="C5" s="16" t="n">
        <v>10000</v>
      </c>
      <c r="D5" s="4" t="inlineStr">
        <is>
          <t>AI Factory Scale + Unified Data Layer</t>
        </is>
      </c>
      <c r="E5" s="4" t="inlineStr">
        <is>
          <t>Wallet Share &amp; Cross-sell</t>
        </is>
      </c>
    </row>
    <row r="6">
      <c r="A6" s="4" t="inlineStr">
        <is>
          <t>3) 2027-28</t>
        </is>
      </c>
      <c r="B6" s="4" t="inlineStr">
        <is>
          <t>Affluent (Enterprise)</t>
        </is>
      </c>
      <c r="C6" s="16" t="n">
        <v>100000</v>
      </c>
      <c r="D6" s="4" t="inlineStr">
        <is>
          <t>Advanced AI Models + Cross-Entity APIs</t>
        </is>
      </c>
      <c r="E6" s="4" t="inlineStr">
        <is>
          <t>Cost-to-Serve &amp; Migration Churn</t>
        </is>
      </c>
    </row>
    <row r="7">
      <c r="A7" s="4" t="inlineStr">
        <is>
          <t>4) 2028+</t>
        </is>
      </c>
      <c r="B7" s="4" t="inlineStr">
        <is>
          <t>All Affluent &amp; Mass Affluent</t>
        </is>
      </c>
      <c r="C7" s="16" t="n">
        <v>4200000</v>
      </c>
      <c r="D7" s="4" t="inlineStr">
        <is>
          <t>Enterprise Platform + GenAI at Scale</t>
        </is>
      </c>
      <c r="E7" s="4" t="inlineStr">
        <is>
          <t>Enterprise Value &amp; Share of Wallet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Financial Projections derived from PPT Metrics (₹ Crores)</t>
        </is>
      </c>
    </row>
    <row r="2"/>
    <row r="3">
      <c r="A3" s="3" t="inlineStr">
        <is>
          <t>Cash Flow Component</t>
        </is>
      </c>
      <c r="B3" s="3" t="inlineStr">
        <is>
          <t>Y0</t>
        </is>
      </c>
      <c r="C3" s="3" t="inlineStr">
        <is>
          <t>Y1 (Pilot)</t>
        </is>
      </c>
      <c r="D3" s="3" t="inlineStr">
        <is>
          <t>Y2 (Scale)</t>
        </is>
      </c>
      <c r="E3" s="3" t="inlineStr">
        <is>
          <t>Y3 (Enterprise)</t>
        </is>
      </c>
      <c r="F3" s="3" t="inlineStr">
        <is>
          <t>Y4 (Mature)</t>
        </is>
      </c>
      <c r="G3" s="3" t="inlineStr">
        <is>
          <t>Y5 (Mature)</t>
        </is>
      </c>
      <c r="H3" s="3" t="inlineStr">
        <is>
          <t>Total</t>
        </is>
      </c>
    </row>
    <row r="4">
      <c r="A4" s="4" t="inlineStr">
        <is>
          <t>CapEx (Tech Platform &amp; Core GenAI)</t>
        </is>
      </c>
      <c r="B4" s="18" t="n">
        <v>-20</v>
      </c>
      <c r="C4" s="18" t="n">
        <v>-15</v>
      </c>
      <c r="D4" s="18" t="n">
        <v>-10</v>
      </c>
      <c r="E4" s="18" t="n">
        <v>-5</v>
      </c>
      <c r="F4" s="18" t="n">
        <v>0</v>
      </c>
      <c r="G4" s="18" t="n">
        <v>0</v>
      </c>
      <c r="H4" s="19">
        <f>SUM(B4:G4)</f>
        <v/>
      </c>
    </row>
    <row r="5">
      <c r="A5" s="4" t="inlineStr">
        <is>
          <t>OpEx (Cloud &amp; Advisory Systems)</t>
        </is>
      </c>
      <c r="B5" s="18" t="n">
        <v>-5</v>
      </c>
      <c r="C5" s="18" t="n">
        <v>-8</v>
      </c>
      <c r="D5" s="18" t="n">
        <v>-12</v>
      </c>
      <c r="E5" s="18" t="n">
        <v>-15</v>
      </c>
      <c r="F5" s="18" t="n">
        <v>-15</v>
      </c>
      <c r="G5" s="18" t="n">
        <v>-15</v>
      </c>
      <c r="H5" s="19">
        <f>SUM(B5:G5)</f>
        <v/>
      </c>
    </row>
    <row r="6">
      <c r="A6" s="4" t="inlineStr">
        <is>
          <t>Training Investment (PPT matched)</t>
        </is>
      </c>
      <c r="B6" s="18" t="n">
        <v>0</v>
      </c>
      <c r="C6" s="18" t="n">
        <v>-0.43</v>
      </c>
      <c r="D6" s="18" t="n">
        <v>-0.86</v>
      </c>
      <c r="E6" s="18" t="n">
        <v>-2.68</v>
      </c>
      <c r="F6" s="18" t="n">
        <v>-4.69</v>
      </c>
      <c r="G6" s="18" t="n">
        <v>-6.7</v>
      </c>
      <c r="H6" s="19">
        <f>SUM(B6:G6)</f>
        <v/>
      </c>
    </row>
    <row r="7">
      <c r="A7" s="4" t="inlineStr">
        <is>
          <t>Cost-to-Serve Savings</t>
        </is>
      </c>
      <c r="B7" s="18" t="n">
        <v>0</v>
      </c>
      <c r="C7" s="20">
        <f>(README_ASSUMPTIONS!$B$10 * KEY_IMPACT_KPIs!$C$5 * PHASED_ROLLOUT!$C$4)/10000000</f>
        <v/>
      </c>
      <c r="D7" s="20">
        <f>(README_ASSUMPTIONS!$B$10 * KEY_IMPACT_KPIs!$C$5 * PHASED_ROLLOUT!$C$5)/10000000</f>
        <v/>
      </c>
      <c r="E7" s="20">
        <f>(README_ASSUMPTIONS!$B$10 * KEY_IMPACT_KPIs!$D$5 * PHASED_ROLLOUT!$C$6)/10000000</f>
        <v/>
      </c>
      <c r="F7" s="20">
        <f>(README_ASSUMPTIONS!$B$10 * KEY_IMPACT_KPIs!$D$5 * 150000)/10000000</f>
        <v/>
      </c>
      <c r="G7" s="20">
        <f>(README_ASSUMPTIONS!$B$10 * KEY_IMPACT_KPIs!$D$5 * 200000)/10000000</f>
        <v/>
      </c>
      <c r="H7" s="19">
        <f>SUM(B7:G7)</f>
        <v/>
      </c>
    </row>
    <row r="8">
      <c r="A8" s="4" t="inlineStr">
        <is>
          <t>Incremental Wallet Share Revenue</t>
        </is>
      </c>
      <c r="B8" s="18" t="n">
        <v>0</v>
      </c>
      <c r="C8" s="18" t="n">
        <v>12.5</v>
      </c>
      <c r="D8" s="18" t="n">
        <v>38.4</v>
      </c>
      <c r="E8" s="18" t="n">
        <v>85</v>
      </c>
      <c r="F8" s="18" t="n">
        <v>142</v>
      </c>
      <c r="G8" s="18" t="n">
        <v>210</v>
      </c>
      <c r="H8" s="19">
        <f>SUM(B8:G8)</f>
        <v/>
      </c>
    </row>
    <row r="9">
      <c r="A9" s="21" t="inlineStr">
        <is>
          <t>Net Cash Flow</t>
        </is>
      </c>
      <c r="B9" s="22">
        <f>SUM(B4:B8)</f>
        <v/>
      </c>
      <c r="C9" s="22">
        <f>SUM(C4:C8)</f>
        <v/>
      </c>
      <c r="D9" s="22">
        <f>SUM(D4:D8)</f>
        <v/>
      </c>
      <c r="E9" s="22">
        <f>SUM(E4:E8)</f>
        <v/>
      </c>
      <c r="F9" s="22">
        <f>SUM(F4:F8)</f>
        <v/>
      </c>
      <c r="G9" s="22">
        <f>SUM(G4:G8)</f>
        <v/>
      </c>
      <c r="H9" s="23">
        <f>SUM(B9:G9)</f>
        <v/>
      </c>
    </row>
    <row r="10">
      <c r="A10" s="13" t="inlineStr">
        <is>
          <t>PV of Cash Flow (12%)</t>
        </is>
      </c>
      <c r="B10" s="19">
        <f>B9/(1+README_ASSUMPTIONS!$B$11)^0</f>
        <v/>
      </c>
      <c r="C10" s="19">
        <f>C9/(1+README_ASSUMPTIONS!$B$11)^1</f>
        <v/>
      </c>
      <c r="D10" s="19">
        <f>D9/(1+README_ASSUMPTIONS!$B$11)^2</f>
        <v/>
      </c>
      <c r="E10" s="19">
        <f>E9/(1+README_ASSUMPTIONS!$B$11)^3</f>
        <v/>
      </c>
      <c r="F10" s="19">
        <f>F9/(1+README_ASSUMPTIONS!$B$11)^4</f>
        <v/>
      </c>
      <c r="G10" s="19">
        <f>G9/(1+README_ASSUMPTIONS!$B$11)^5</f>
        <v/>
      </c>
      <c r="H10" s="24">
        <f>SUM(B10:G10)</f>
        <v/>
      </c>
    </row>
    <row r="11"/>
    <row r="12">
      <c r="A12" s="13" t="inlineStr">
        <is>
          <t>Project NPV:</t>
        </is>
      </c>
      <c r="B12" s="25">
        <f>SUM(B10:G10)</f>
        <v/>
      </c>
      <c r="D12" s="13" t="inlineStr">
        <is>
          <t>Project IRR:</t>
        </is>
      </c>
      <c r="E12" s="26">
        <f>IRR(B9:G9)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5" customWidth="1" min="2" max="2"/>
    <col width="13" customWidth="1" min="3" max="3"/>
    <col width="16" customWidth="1" min="4" max="4"/>
  </cols>
  <sheetData>
    <row r="1">
      <c r="A1" s="9" t="inlineStr">
        <is>
          <t>Sensitivity Analysis — NPV vs. WACC vs. Wallet Share (₹ Crores)</t>
        </is>
      </c>
    </row>
    <row r="2"/>
    <row r="3">
      <c r="A3" s="3" t="inlineStr">
        <is>
          <t>WACC / Wallet Share</t>
        </is>
      </c>
      <c r="B3" s="3" t="inlineStr">
        <is>
          <t>+10% (Pilot)</t>
        </is>
      </c>
      <c r="C3" s="3" t="inlineStr">
        <is>
          <t>+20% (Mid)</t>
        </is>
      </c>
      <c r="D3" s="3" t="inlineStr">
        <is>
          <t>+30% (Mature)</t>
        </is>
      </c>
    </row>
    <row r="4">
      <c r="A4" s="4" t="inlineStr">
        <is>
          <t>10.0%</t>
        </is>
      </c>
      <c r="B4" s="18" t="n">
        <v>108.5</v>
      </c>
      <c r="C4" s="18" t="n">
        <v>154.2</v>
      </c>
      <c r="D4" s="18" t="n">
        <v>218.4</v>
      </c>
    </row>
    <row r="5">
      <c r="A5" s="4" t="inlineStr">
        <is>
          <t>12.0% (Base)</t>
        </is>
      </c>
      <c r="B5" s="18" t="n">
        <v>95.40000000000001</v>
      </c>
      <c r="C5" s="18" t="n">
        <v>138.9</v>
      </c>
      <c r="D5" s="27">
        <f>'PROJECT_ECONOMICS'!B12</f>
        <v/>
      </c>
    </row>
    <row r="6">
      <c r="A6" s="4" t="inlineStr">
        <is>
          <t>14.0%</t>
        </is>
      </c>
      <c r="B6" s="18" t="n">
        <v>82.09999999999999</v>
      </c>
      <c r="C6" s="18" t="n">
        <v>122.3</v>
      </c>
      <c r="D6" s="18" t="n">
        <v>185.6</v>
      </c>
    </row>
    <row r="7">
      <c r="A7" s="4" t="inlineStr">
        <is>
          <t>16.0%</t>
        </is>
      </c>
      <c r="B7" s="18" t="n">
        <v>70.8</v>
      </c>
      <c r="C7" s="18" t="n">
        <v>108.4</v>
      </c>
      <c r="D7" s="18" t="n">
        <v>164.2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3" customWidth="1" min="2" max="2"/>
    <col width="30" customWidth="1" min="3" max="3"/>
    <col width="36" customWidth="1" min="4" max="4"/>
  </cols>
  <sheetData>
    <row r="1">
      <c r="A1" s="9" t="inlineStr">
        <is>
          <t>Training Investment Scale Calculations (PPT Matched)</t>
        </is>
      </c>
    </row>
    <row r="2"/>
    <row r="3">
      <c r="A3" s="3" t="inlineStr">
        <is>
          <t>Rollout Phase</t>
        </is>
      </c>
      <c r="B3" s="3" t="inlineStr">
        <is>
          <t>RMs Active</t>
        </is>
      </c>
      <c r="C3" s="3" t="inlineStr">
        <is>
          <t>Investment per 100 Emps (₹)</t>
        </is>
      </c>
      <c r="D3" s="3" t="inlineStr">
        <is>
          <t>Total Training Expenditure (₹ Cr)</t>
        </is>
      </c>
    </row>
    <row r="4">
      <c r="A4" s="4" t="inlineStr">
        <is>
          <t>Y1 (Pilot)</t>
        </is>
      </c>
      <c r="B4" s="15" t="n">
        <v>100</v>
      </c>
      <c r="C4" s="12">
        <f>KEY_IMPACT_KPIs!$C$7</f>
        <v/>
      </c>
      <c r="D4" s="28">
        <f>(B4*C4)/10000000</f>
        <v/>
      </c>
    </row>
    <row r="5">
      <c r="A5" s="4" t="inlineStr">
        <is>
          <t>Y2 (Scale)</t>
        </is>
      </c>
      <c r="B5" s="15" t="n">
        <v>200</v>
      </c>
      <c r="C5" s="12">
        <f>KEY_IMPACT_KPIs!$C$7</f>
        <v/>
      </c>
      <c r="D5" s="28">
        <f>(B5*C5)/10000000</f>
        <v/>
      </c>
    </row>
    <row r="6">
      <c r="A6" s="4" t="inlineStr">
        <is>
          <t>Y3 (Enterprise)</t>
        </is>
      </c>
      <c r="B6" s="15" t="n">
        <v>500</v>
      </c>
      <c r="C6" s="12">
        <f>KEY_IMPACT_KPIs!$D$7</f>
        <v/>
      </c>
      <c r="D6" s="28">
        <f>(B6*C6)/10000000</f>
        <v/>
      </c>
    </row>
    <row r="7">
      <c r="A7" s="4" t="inlineStr">
        <is>
          <t>Y4 (Mature)</t>
        </is>
      </c>
      <c r="B7" s="15" t="n">
        <v>700</v>
      </c>
      <c r="C7" s="12">
        <f>KEY_IMPACT_KPIs!$D$7</f>
        <v/>
      </c>
      <c r="D7" s="28">
        <f>(B7*C7)/10000000</f>
        <v/>
      </c>
    </row>
    <row r="8">
      <c r="A8" s="4" t="inlineStr">
        <is>
          <t>Y5 (Mature)</t>
        </is>
      </c>
      <c r="B8" s="15" t="n">
        <v>1000</v>
      </c>
      <c r="C8" s="12">
        <f>KEY_IMPACT_KPIs!$D$7</f>
        <v/>
      </c>
      <c r="D8" s="28">
        <f>(B8*C8)/10000000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2026-07-24T12:37:49Z</dcterms:created>
  <dcterms:modified xmlns:dcterms="http://purl.org/dc/terms/" xmlns:xsi="http://www.w3.org/2001/XMLSchema-instance" xsi:type="dcterms:W3CDTF">2026-07-24T12:37:49Z</dcterms:modified>
</cp:coreProperties>
</file>