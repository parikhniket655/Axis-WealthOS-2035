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_ASSUMPTIONS" sheetId="1" state="visible" r:id="rId1"/>
    <sheet xmlns:r="http://schemas.openxmlformats.org/officeDocument/2006/relationships" name="POD_CAPACITY_v2" sheetId="2" state="visible" r:id="rId2"/>
    <sheet xmlns:r="http://schemas.openxmlformats.org/officeDocument/2006/relationships" name="COST_TO_SERVE" sheetId="3" state="visible" r:id="rId3"/>
    <sheet xmlns:r="http://schemas.openxmlformats.org/officeDocument/2006/relationships" name="PROJECT_ECONOMICS_v2" sheetId="4" state="visible" r:id="rId4"/>
    <sheet xmlns:r="http://schemas.openxmlformats.org/officeDocument/2006/relationships" name="SENSITIVITY_v2" sheetId="5" state="visible" r:id="rId5"/>
    <sheet xmlns:r="http://schemas.openxmlformats.org/officeDocument/2006/relationships" name="TIER_DIFF_v2" sheetId="6" state="visible" r:id="rId6"/>
    <sheet xmlns:r="http://schemas.openxmlformats.org/officeDocument/2006/relationships" name="RECONCILIATION_v2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₹#,##0"/>
    <numFmt numFmtId="166" formatCode="₹#,##0.0"/>
    <numFmt numFmtId="167" formatCode="₹#,##0.0 Cr"/>
  </numFmts>
  <fonts count="7">
    <font>
      <name val="Calibri"/>
      <family val="2"/>
      <color theme="1"/>
      <sz val="11"/>
      <scheme val="minor"/>
    </font>
    <font>
      <name val="Segoe UI"/>
      <b val="1"/>
      <color rgb="00861F41"/>
      <sz val="16"/>
    </font>
    <font>
      <name val="Segoe UI"/>
      <i val="1"/>
      <color rgb="00727272"/>
      <sz val="9"/>
    </font>
    <font>
      <name val="Segoe UI"/>
      <b val="1"/>
      <color rgb="00FFFFFF"/>
      <sz val="10"/>
    </font>
    <font>
      <name val="Segoe UI"/>
      <sz val="10"/>
    </font>
    <font>
      <name val="Segoe UI"/>
      <b val="1"/>
      <color rgb="00861F41"/>
      <sz val="11"/>
    </font>
    <font>
      <name val="Segoe UI"/>
      <b val="1"/>
      <sz val="10"/>
    </font>
  </fonts>
  <fills count="6">
    <fill>
      <patternFill/>
    </fill>
    <fill>
      <patternFill patternType="gray125"/>
    </fill>
    <fill>
      <patternFill patternType="solid">
        <fgColor rgb="00861F41"/>
        <bgColor rgb="00861F41"/>
      </patternFill>
    </fill>
    <fill>
      <patternFill patternType="solid">
        <fgColor rgb="00FFFFCC"/>
        <bgColor rgb="00FFFFCC"/>
      </patternFill>
    </fill>
    <fill>
      <patternFill patternType="solid">
        <fgColor rgb="00F9F5F6"/>
        <bgColor rgb="00F9F5F6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right" vertical="center"/>
    </xf>
    <xf numFmtId="0" fontId="5" fillId="0" borderId="0" pivotButton="0" quotePrefix="0" xfId="0"/>
    <xf numFmtId="9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2" pivotButton="0" quotePrefix="0" xfId="0"/>
    <xf numFmtId="3" fontId="6" fillId="4" borderId="2" pivotButton="0" quotePrefix="0" xfId="0"/>
    <xf numFmtId="0" fontId="4" fillId="0" borderId="0" pivotButton="0" quotePrefix="0" xfId="0"/>
    <xf numFmtId="0" fontId="4" fillId="4" borderId="0" pivotButton="0" quotePrefix="0" xfId="0"/>
    <xf numFmtId="165" fontId="4" fillId="0" borderId="1" applyAlignment="1" pivotButton="0" quotePrefix="0" xfId="0">
      <alignment horizontal="right" vertical="center"/>
    </xf>
    <xf numFmtId="165" fontId="6" fillId="0" borderId="2" pivotButton="0" quotePrefix="0" xfId="0"/>
    <xf numFmtId="165" fontId="6" fillId="5" borderId="2" pivotButton="0" quotePrefix="0" xfId="0"/>
    <xf numFmtId="9" fontId="6" fillId="0" borderId="2" pivotButton="0" quotePrefix="0" xfId="0"/>
    <xf numFmtId="165" fontId="6" fillId="0" borderId="1" applyAlignment="1" pivotButton="0" quotePrefix="0" xfId="0">
      <alignment horizontal="right" vertical="center"/>
    </xf>
    <xf numFmtId="0" fontId="6" fillId="5" borderId="0" pivotButton="0" quotePrefix="0" xfId="0"/>
    <xf numFmtId="165" fontId="6" fillId="5" borderId="1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167" fontId="6" fillId="0" borderId="1" pivotButton="0" quotePrefix="0" xfId="0"/>
    <xf numFmtId="164" fontId="6" fillId="0" borderId="1" pivotButton="0" quotePrefix="0" xfId="0"/>
    <xf numFmtId="166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11" customWidth="1" min="2" max="2"/>
    <col width="14" customWidth="1" min="3" max="3"/>
    <col width="21" customWidth="1" min="4" max="4"/>
    <col width="63" customWidth="1" min="5" max="5"/>
  </cols>
  <sheetData>
    <row r="1">
      <c r="A1" s="1" t="inlineStr">
        <is>
          <t>Axis WealthOS 2035 — Feasibility Workbook Assumptions</t>
        </is>
      </c>
    </row>
    <row r="2">
      <c r="A2" s="2" t="inlineStr">
        <is>
          <t>Note: Yellow highlighted cells represent editable driver inputs. All downstream metrics recompute dynamically.</t>
        </is>
      </c>
    </row>
    <row r="3"/>
    <row r="4">
      <c r="A4" s="3" t="inlineStr">
        <is>
          <t>Strategic 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Type / Source</t>
        </is>
      </c>
      <c r="E4" s="3" t="inlineStr">
        <is>
          <t>Operational Description</t>
        </is>
      </c>
    </row>
    <row r="5">
      <c r="A5" s="4" t="inlineStr">
        <is>
          <t>Target WACC (Discount Rate)</t>
        </is>
      </c>
      <c r="B5" s="5" t="n">
        <v>0.12</v>
      </c>
      <c r="C5" s="6" t="inlineStr">
        <is>
          <t>Percentage</t>
        </is>
      </c>
      <c r="D5" s="4" t="inlineStr">
        <is>
          <t>industry-benchmark</t>
        </is>
      </c>
      <c r="E5" s="4" t="inlineStr">
        <is>
          <t>Cost of capital for strategic private bank projects.</t>
        </is>
      </c>
    </row>
    <row r="6">
      <c r="A6" s="4" t="inlineStr">
        <is>
          <t>Average Wealth Fee Rate</t>
        </is>
      </c>
      <c r="B6" s="5" t="n">
        <v>0.0075</v>
      </c>
      <c r="C6" s="6" t="inlineStr">
        <is>
          <t>Percentage</t>
        </is>
      </c>
      <c r="D6" s="4" t="inlineStr">
        <is>
          <t>from-pitch</t>
        </is>
      </c>
      <c r="E6" s="4" t="inlineStr">
        <is>
          <t>Average advisory fee (75 bps) on fresh external assets.</t>
        </is>
      </c>
    </row>
    <row r="7">
      <c r="A7" s="4" t="inlineStr">
        <is>
          <t>Base Pod Capacity</t>
        </is>
      </c>
      <c r="B7" s="7" t="n">
        <v>150</v>
      </c>
      <c r="C7" s="6" t="inlineStr">
        <is>
          <t>Clients/Pod</t>
        </is>
      </c>
      <c r="D7" s="4" t="inlineStr">
        <is>
          <t>industry-benchmark</t>
        </is>
      </c>
      <c r="E7" s="4" t="inlineStr">
        <is>
          <t>Base case capacity of one pod under the bottleneck rule.</t>
        </is>
      </c>
    </row>
    <row r="8">
      <c r="A8" s="4" t="inlineStr">
        <is>
          <t>Stretch Pod Capacity</t>
        </is>
      </c>
      <c r="B8" s="7" t="n">
        <v>220</v>
      </c>
      <c r="C8" s="6" t="inlineStr">
        <is>
          <t>Clients/Pod</t>
        </is>
      </c>
      <c r="D8" s="4" t="inlineStr">
        <is>
          <t>industry-benchmark</t>
        </is>
      </c>
      <c r="E8" s="4" t="inlineStr">
        <is>
          <t>Upside capacity target after Year 3 of system training.</t>
        </is>
      </c>
    </row>
    <row r="9">
      <c r="A9" s="4" t="inlineStr">
        <is>
          <t>Theoretical Pod Capacity</t>
        </is>
      </c>
      <c r="B9" s="7" t="n">
        <v>600</v>
      </c>
      <c r="C9" s="6" t="inlineStr">
        <is>
          <t>Clients/Pod</t>
        </is>
      </c>
      <c r="D9" s="4" t="inlineStr">
        <is>
          <t>from-pitch</t>
        </is>
      </c>
      <c r="E9" s="4" t="inlineStr">
        <is>
          <t>Unrealistic capacity summing caps without bottleneck checks.</t>
        </is>
      </c>
    </row>
    <row r="10">
      <c r="A10" s="4" t="inlineStr">
        <is>
          <t>Axis Burgundy Customer Base</t>
        </is>
      </c>
      <c r="B10" s="7" t="n">
        <v>780000</v>
      </c>
      <c r="C10" s="6" t="inlineStr">
        <is>
          <t>Clients</t>
        </is>
      </c>
      <c r="D10" s="4" t="inlineStr">
        <is>
          <t>Axis disclosure</t>
        </is>
      </c>
      <c r="E10" s="4" t="inlineStr">
        <is>
          <t>Approximate active Burgundy affluent customers (FY26).</t>
        </is>
      </c>
    </row>
    <row r="11">
      <c r="A11" s="4" t="inlineStr">
        <is>
          <t>Burgundy Private Customer Base</t>
        </is>
      </c>
      <c r="B11" s="7" t="n">
        <v>16453</v>
      </c>
      <c r="C11" s="6" t="inlineStr">
        <is>
          <t>Clients</t>
        </is>
      </c>
      <c r="D11" s="4" t="inlineStr">
        <is>
          <t>Axis disclosure</t>
        </is>
      </c>
      <c r="E11" s="4" t="inlineStr">
        <is>
          <t>Approximate active Burgundy Private families (FY26).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6" customWidth="1" min="2" max="2"/>
    <col width="18" customWidth="1" min="3" max="3"/>
    <col width="29" customWidth="1" min="4" max="4"/>
    <col width="14" customWidth="1" min="5" max="5"/>
    <col width="71" customWidth="1" min="6" max="6"/>
  </cols>
  <sheetData>
    <row r="1">
      <c r="A1" s="8" t="inlineStr">
        <is>
          <t>Advisory Pod Capacity Decomposition — Bottleneck Model</t>
        </is>
      </c>
    </row>
    <row r="2"/>
    <row r="3">
      <c r="A3" s="3" t="inlineStr">
        <is>
          <t>Pod Member Role</t>
        </is>
      </c>
      <c r="B3" s="3" t="inlineStr">
        <is>
          <t>% Client Time</t>
        </is>
      </c>
      <c r="C3" s="3" t="inlineStr">
        <is>
          <t>Manual Capacity</t>
        </is>
      </c>
      <c r="D3" s="3" t="inlineStr">
        <is>
          <t>WealthOS Assisted Capacity</t>
        </is>
      </c>
      <c r="E3" s="3" t="inlineStr">
        <is>
          <t>Lift %</t>
        </is>
      </c>
      <c r="F3" s="3" t="inlineStr">
        <is>
          <t>Cognitive Bottleneck Unblocked by AI</t>
        </is>
      </c>
    </row>
    <row r="4">
      <c r="A4" s="4" t="inlineStr">
        <is>
          <t>Lead Relationship Partner (LRP)</t>
        </is>
      </c>
      <c r="B4" s="9" t="n">
        <v>0.7</v>
      </c>
      <c r="C4" s="10" t="n">
        <v>80</v>
      </c>
      <c r="D4" s="10" t="n">
        <v>100</v>
      </c>
      <c r="E4" s="9">
        <f> (D4-C4)/C4</f>
        <v/>
      </c>
      <c r="F4" s="4" t="inlineStr">
        <is>
          <t>Auto-generated client summaries from Account Aggregator (AA)</t>
        </is>
      </c>
    </row>
    <row r="5">
      <c r="A5" s="4" t="inlineStr">
        <is>
          <t>Portfolio Architect (PA)</t>
        </is>
      </c>
      <c r="B5" s="9" t="n">
        <v>0.7</v>
      </c>
      <c r="C5" s="10" t="n">
        <v>90</v>
      </c>
      <c r="D5" s="10" t="n">
        <v>180</v>
      </c>
      <c r="E5" s="9">
        <f> (D5-C5)/C5</f>
        <v/>
      </c>
      <c r="F5" s="4" t="inlineStr">
        <is>
          <t>Drift detection, model asset allocations, tax-loss harvesting alerts</t>
        </is>
      </c>
    </row>
    <row r="6">
      <c r="A6" s="4" t="inlineStr">
        <is>
          <t>Credit Specialist (CS)</t>
        </is>
      </c>
      <c r="B6" s="9" t="n">
        <v>0.7</v>
      </c>
      <c r="C6" s="10" t="n">
        <v>100</v>
      </c>
      <c r="D6" s="10" t="n">
        <v>140</v>
      </c>
      <c r="E6" s="9">
        <f> (D6-C6)/C6</f>
        <v/>
      </c>
      <c r="F6" s="4" t="inlineStr">
        <is>
          <t>Bureau automated pre-checks, GSTN registers sync, bank statements</t>
        </is>
      </c>
    </row>
    <row r="7"/>
    <row r="8">
      <c r="A8" s="11" t="inlineStr">
        <is>
          <t>Pod Effective Capacity (Bottleneck Rule)</t>
        </is>
      </c>
      <c r="C8" s="12">
        <f>MIN(C4:C6)</f>
        <v/>
      </c>
      <c r="D8" s="13">
        <f>README_ASSUMPTIONS!B7</f>
        <v/>
      </c>
    </row>
    <row r="9">
      <c r="A9" s="14" t="inlineStr">
        <is>
          <t>Sum-of-Caps Error (Invalid)</t>
        </is>
      </c>
      <c r="C9" s="14">
        <f>SUM(C4:C6)</f>
        <v/>
      </c>
      <c r="D9" s="15">
        <f>README_ASSUMPTIONS!B9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9" customWidth="1" min="2" max="2"/>
    <col width="24" customWidth="1" min="3" max="3"/>
    <col width="14" customWidth="1" min="4" max="4"/>
    <col width="68" customWidth="1" min="5" max="5"/>
  </cols>
  <sheetData>
    <row r="1">
      <c r="A1" s="8" t="inlineStr">
        <is>
          <t>Cost-to-Serve Optimization per Client per Annum</t>
        </is>
      </c>
    </row>
    <row r="2"/>
    <row r="3">
      <c r="A3" s="3" t="inlineStr">
        <is>
          <t>Cost Component</t>
        </is>
      </c>
      <c r="B3" s="3" t="inlineStr">
        <is>
          <t>Manual Model (₹)</t>
        </is>
      </c>
      <c r="C3" s="3" t="inlineStr">
        <is>
          <t>WealthOS Assisted (₹)</t>
        </is>
      </c>
      <c r="D3" s="3" t="inlineStr">
        <is>
          <t>Saving %</t>
        </is>
      </c>
      <c r="E3" s="3" t="inlineStr">
        <is>
          <t>Automation Logic &amp; Prep Optimization</t>
        </is>
      </c>
    </row>
    <row r="4">
      <c r="A4" s="4" t="inlineStr">
        <is>
          <t>RM prep time &amp; research</t>
        </is>
      </c>
      <c r="B4" s="16" t="n">
        <v>8400</v>
      </c>
      <c r="C4" s="16" t="n">
        <v>1260</v>
      </c>
      <c r="D4" s="9">
        <f>(C4-B4)/B4</f>
        <v/>
      </c>
      <c r="E4" s="4" t="inlineStr">
        <is>
          <t>Prep compressed from 4 hours to 5 minutes via data twin scans.</t>
        </is>
      </c>
    </row>
    <row r="5">
      <c r="A5" s="4" t="inlineStr">
        <is>
          <t>Branch operations / servicing desk</t>
        </is>
      </c>
      <c r="B5" s="16" t="n">
        <v>4200</v>
      </c>
      <c r="C5" s="16" t="n">
        <v>630</v>
      </c>
      <c r="D5" s="9">
        <f>(C5-B5)/B5</f>
        <v/>
      </c>
      <c r="E5" s="4" t="inlineStr">
        <is>
          <t>Direct digital submission of client requests, removing paperwork.</t>
        </is>
      </c>
    </row>
    <row r="6">
      <c r="A6" s="4" t="inlineStr">
        <is>
          <t>Reconciliation &amp; compliance log</t>
        </is>
      </c>
      <c r="B6" s="16" t="n">
        <v>1800</v>
      </c>
      <c r="C6" s="16" t="n">
        <v>270</v>
      </c>
      <c r="D6" s="9">
        <f>(C6-B6)/B6</f>
        <v/>
      </c>
      <c r="E6" s="4" t="inlineStr">
        <is>
          <t>SPARSH ledger logs SHA-256 validation checks automatically.</t>
        </is>
      </c>
    </row>
    <row r="7">
      <c r="A7" s="4" t="inlineStr">
        <is>
          <t>Documentation &amp; courier costs</t>
        </is>
      </c>
      <c r="B7" s="16" t="n">
        <v>600</v>
      </c>
      <c r="C7" s="16" t="n">
        <v>90</v>
      </c>
      <c r="D7" s="9">
        <f>(C7-B7)/B7</f>
        <v/>
      </c>
      <c r="E7" s="4" t="inlineStr">
        <is>
          <t>Consented Account Aggregator data sharing eliminates printing.</t>
        </is>
      </c>
    </row>
    <row r="8">
      <c r="A8" s="11" t="inlineStr">
        <is>
          <t>Total Cost-to-Serve per Client</t>
        </is>
      </c>
      <c r="B8" s="17">
        <f>SUM(B4:B7)</f>
        <v/>
      </c>
      <c r="C8" s="18">
        <f>SUM(C4:C7)</f>
        <v/>
      </c>
      <c r="D8" s="19">
        <f>(C8-B8)/B8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8" t="inlineStr">
        <is>
          <t>Scenario Analysis — 5-Year Cash Flows &amp; ROI (₹ Crores)</t>
        </is>
      </c>
    </row>
    <row r="2"/>
    <row r="3">
      <c r="A3" s="11" t="inlineStr">
        <is>
          <t>Scenario A: Realistic Base (150 clients/pod)</t>
        </is>
      </c>
    </row>
    <row r="4">
      <c r="A4" s="3" t="inlineStr">
        <is>
          <t>Cash Flow Line (₹ Cr)</t>
        </is>
      </c>
      <c r="B4" s="3" t="inlineStr">
        <is>
          <t>Y0</t>
        </is>
      </c>
      <c r="C4" s="3" t="inlineStr">
        <is>
          <t>Y1</t>
        </is>
      </c>
      <c r="D4" s="3" t="inlineStr">
        <is>
          <t>Y2</t>
        </is>
      </c>
      <c r="E4" s="3" t="inlineStr">
        <is>
          <t>Y3</t>
        </is>
      </c>
      <c r="F4" s="3" t="inlineStr">
        <is>
          <t>Y4</t>
        </is>
      </c>
      <c r="G4" s="3" t="inlineStr">
        <is>
          <t>Y5</t>
        </is>
      </c>
      <c r="H4" s="3" t="inlineStr">
        <is>
          <t>Total</t>
        </is>
      </c>
    </row>
    <row r="5">
      <c r="A5" s="4" t="inlineStr">
        <is>
          <t>CapEx (System Build &amp; AA integration)</t>
        </is>
      </c>
      <c r="B5" s="16" t="n">
        <v>-20</v>
      </c>
      <c r="C5" s="16" t="n">
        <v>-25</v>
      </c>
      <c r="D5" s="16" t="n">
        <v>-30</v>
      </c>
      <c r="E5" s="16" t="n">
        <v>-25</v>
      </c>
      <c r="F5" s="16" t="n">
        <v>-20</v>
      </c>
      <c r="G5" s="16" t="n">
        <v>0</v>
      </c>
      <c r="H5" s="20">
        <f>SUM(B5:G5)</f>
        <v/>
      </c>
    </row>
    <row r="6">
      <c r="A6" s="4" t="inlineStr">
        <is>
          <t>OpEx (Cloud, Advisory Pod systems)</t>
        </is>
      </c>
      <c r="B6" s="16" t="n">
        <v>-15</v>
      </c>
      <c r="C6" s="16" t="n">
        <v>-15</v>
      </c>
      <c r="D6" s="16" t="n">
        <v>-15</v>
      </c>
      <c r="E6" s="16" t="n">
        <v>-15</v>
      </c>
      <c r="F6" s="16" t="n">
        <v>-15</v>
      </c>
      <c r="G6" s="16" t="n">
        <v>-15</v>
      </c>
      <c r="H6" s="20">
        <f>SUM(B6:G6)</f>
        <v/>
      </c>
    </row>
    <row r="7">
      <c r="A7" s="4" t="inlineStr">
        <is>
          <t>Compliance &amp; Audit overhead (SPARSH)</t>
        </is>
      </c>
      <c r="B7" s="16" t="n">
        <v>0</v>
      </c>
      <c r="C7" s="16" t="n">
        <v>-4</v>
      </c>
      <c r="D7" s="16" t="n">
        <v>-4</v>
      </c>
      <c r="E7" s="16" t="n">
        <v>-4</v>
      </c>
      <c r="F7" s="16" t="n">
        <v>-4</v>
      </c>
      <c r="G7" s="16" t="n">
        <v>-4</v>
      </c>
      <c r="H7" s="20">
        <f>SUM(B7:G7)</f>
        <v/>
      </c>
    </row>
    <row r="8">
      <c r="A8" s="4" t="inlineStr">
        <is>
          <t>Incremental advisory fee income</t>
        </is>
      </c>
      <c r="B8" s="16" t="n">
        <v>0</v>
      </c>
      <c r="C8" s="16" t="n">
        <v>18</v>
      </c>
      <c r="D8" s="16" t="n">
        <v>45</v>
      </c>
      <c r="E8" s="16" t="n">
        <v>80</v>
      </c>
      <c r="F8" s="16" t="n">
        <v>120</v>
      </c>
      <c r="G8" s="16" t="n">
        <v>165</v>
      </c>
      <c r="H8" s="20">
        <f>SUM(B8:G8)</f>
        <v/>
      </c>
    </row>
    <row r="9">
      <c r="A9" s="4" t="inlineStr">
        <is>
          <t>RM productivity monetization</t>
        </is>
      </c>
      <c r="B9" s="16" t="n">
        <v>0</v>
      </c>
      <c r="C9" s="16" t="n">
        <v>7</v>
      </c>
      <c r="D9" s="16" t="n">
        <v>19</v>
      </c>
      <c r="E9" s="16" t="n">
        <v>36</v>
      </c>
      <c r="F9" s="16" t="n">
        <v>55</v>
      </c>
      <c r="G9" s="16" t="n">
        <v>75</v>
      </c>
      <c r="H9" s="20">
        <f>SUM(B9:G9)</f>
        <v/>
      </c>
    </row>
    <row r="10">
      <c r="A10" s="21" t="inlineStr">
        <is>
          <t>Net Cash Flow</t>
        </is>
      </c>
      <c r="B10" s="22">
        <f>SUM(B5:B9)</f>
        <v/>
      </c>
      <c r="C10" s="22">
        <f>SUM(C5:C9)</f>
        <v/>
      </c>
      <c r="D10" s="22">
        <f>SUM(D5:D9)</f>
        <v/>
      </c>
      <c r="E10" s="22">
        <f>SUM(E5:E9)</f>
        <v/>
      </c>
      <c r="F10" s="22">
        <f>SUM(F5:F9)</f>
        <v/>
      </c>
      <c r="G10" s="22">
        <f>SUM(G5:G9)</f>
        <v/>
      </c>
      <c r="H10" s="23">
        <f>SUM(B10:G10)</f>
        <v/>
      </c>
    </row>
    <row r="11">
      <c r="A11" s="11" t="inlineStr">
        <is>
          <t>PV of Cash Flow (12%)</t>
        </is>
      </c>
      <c r="B11" s="24">
        <f>B10/(1+README_ASSUMPTIONS!$B$5)^0</f>
        <v/>
      </c>
      <c r="C11" s="24">
        <f>C10/(1+README_ASSUMPTIONS!$B$5)^1</f>
        <v/>
      </c>
      <c r="D11" s="24">
        <f>D10/(1+README_ASSUMPTIONS!$B$5)^2</f>
        <v/>
      </c>
      <c r="E11" s="24">
        <f>E10/(1+README_ASSUMPTIONS!$B$5)^3</f>
        <v/>
      </c>
      <c r="F11" s="24">
        <f>F10/(1+README_ASSUMPTIONS!$B$5)^4</f>
        <v/>
      </c>
      <c r="G11" s="24">
        <f>G10/(1+README_ASSUMPTIONS!$B$5)^5</f>
        <v/>
      </c>
      <c r="H11" s="25">
        <f>SUM(B11:G11)</f>
        <v/>
      </c>
    </row>
    <row r="12"/>
    <row r="13">
      <c r="A13" s="11" t="inlineStr">
        <is>
          <t>NPV (@ 12%):</t>
        </is>
      </c>
      <c r="B13" s="26">
        <f>SUM(B11:G11)</f>
        <v/>
      </c>
      <c r="D13" s="11" t="inlineStr">
        <is>
          <t>IRR:</t>
        </is>
      </c>
      <c r="E13" s="27">
        <f>IRR(B10:G10)</f>
        <v/>
      </c>
    </row>
    <row r="14"/>
    <row r="15">
      <c r="A15" s="11" t="inlineStr">
        <is>
          <t>Scenario B: Upside Case (220 clients/pod)</t>
        </is>
      </c>
    </row>
    <row r="16">
      <c r="A16" s="3" t="inlineStr">
        <is>
          <t>Cash Flow Line (₹ Cr)</t>
        </is>
      </c>
      <c r="B16" s="3" t="inlineStr">
        <is>
          <t>Y0</t>
        </is>
      </c>
      <c r="C16" s="3" t="inlineStr">
        <is>
          <t>Y1</t>
        </is>
      </c>
      <c r="D16" s="3" t="inlineStr">
        <is>
          <t>Y2</t>
        </is>
      </c>
      <c r="E16" s="3" t="inlineStr">
        <is>
          <t>Y3</t>
        </is>
      </c>
      <c r="F16" s="3" t="inlineStr">
        <is>
          <t>Y4</t>
        </is>
      </c>
      <c r="G16" s="3" t="inlineStr">
        <is>
          <t>Y5</t>
        </is>
      </c>
      <c r="H16" s="3" t="inlineStr">
        <is>
          <t>Total</t>
        </is>
      </c>
    </row>
    <row r="17">
      <c r="A17" s="4" t="inlineStr">
        <is>
          <t>CapEx (System Build &amp; AA integration)</t>
        </is>
      </c>
      <c r="B17" s="16" t="n">
        <v>-20</v>
      </c>
      <c r="C17" s="16" t="n">
        <v>-25</v>
      </c>
      <c r="D17" s="16" t="n">
        <v>-30</v>
      </c>
      <c r="E17" s="16" t="n">
        <v>-25</v>
      </c>
      <c r="F17" s="16" t="n">
        <v>-20</v>
      </c>
      <c r="G17" s="16" t="n">
        <v>0</v>
      </c>
      <c r="H17" s="20">
        <f>SUM(B17:G17)</f>
        <v/>
      </c>
    </row>
    <row r="18">
      <c r="A18" s="4" t="inlineStr">
        <is>
          <t>OpEx (Cloud, Advisory Pod systems)</t>
        </is>
      </c>
      <c r="B18" s="16" t="n">
        <v>-15</v>
      </c>
      <c r="C18" s="16" t="n">
        <v>-15</v>
      </c>
      <c r="D18" s="16" t="n">
        <v>-15</v>
      </c>
      <c r="E18" s="16" t="n">
        <v>-15</v>
      </c>
      <c r="F18" s="16" t="n">
        <v>-15</v>
      </c>
      <c r="G18" s="16" t="n">
        <v>-15</v>
      </c>
      <c r="H18" s="20">
        <f>SUM(B18:G18)</f>
        <v/>
      </c>
    </row>
    <row r="19">
      <c r="A19" s="4" t="inlineStr">
        <is>
          <t>Compliance &amp; Audit overhead (SPARSH)</t>
        </is>
      </c>
      <c r="B19" s="16" t="n">
        <v>0</v>
      </c>
      <c r="C19" s="16" t="n">
        <v>-4</v>
      </c>
      <c r="D19" s="16" t="n">
        <v>-4</v>
      </c>
      <c r="E19" s="16" t="n">
        <v>-4</v>
      </c>
      <c r="F19" s="16" t="n">
        <v>-4</v>
      </c>
      <c r="G19" s="16" t="n">
        <v>-4</v>
      </c>
      <c r="H19" s="20">
        <f>SUM(B19:G19)</f>
        <v/>
      </c>
    </row>
    <row r="20">
      <c r="A20" s="4" t="inlineStr">
        <is>
          <t>Incremental advisory fee income</t>
        </is>
      </c>
      <c r="B20" s="16" t="n">
        <v>0</v>
      </c>
      <c r="C20" s="16" t="n">
        <v>20</v>
      </c>
      <c r="D20" s="16" t="n">
        <v>52</v>
      </c>
      <c r="E20" s="16" t="n">
        <v>98</v>
      </c>
      <c r="F20" s="16" t="n">
        <v>155</v>
      </c>
      <c r="G20" s="16" t="n">
        <v>230</v>
      </c>
      <c r="H20" s="20">
        <f>SUM(B20:G20)</f>
        <v/>
      </c>
    </row>
    <row r="21">
      <c r="A21" s="4" t="inlineStr">
        <is>
          <t>RM productivity monetization</t>
        </is>
      </c>
      <c r="B21" s="16" t="n">
        <v>0</v>
      </c>
      <c r="C21" s="16" t="n">
        <v>9</v>
      </c>
      <c r="D21" s="16" t="n">
        <v>24</v>
      </c>
      <c r="E21" s="16" t="n">
        <v>48</v>
      </c>
      <c r="F21" s="16" t="n">
        <v>75</v>
      </c>
      <c r="G21" s="16" t="n">
        <v>104</v>
      </c>
      <c r="H21" s="20">
        <f>SUM(B21:G21)</f>
        <v/>
      </c>
    </row>
    <row r="22">
      <c r="A22" s="21" t="inlineStr">
        <is>
          <t>Net Cash Flow</t>
        </is>
      </c>
      <c r="B22" s="22">
        <f>SUM(B17:B21)</f>
        <v/>
      </c>
      <c r="C22" s="22">
        <f>SUM(C17:C21)</f>
        <v/>
      </c>
      <c r="D22" s="22">
        <f>SUM(D17:D21)</f>
        <v/>
      </c>
      <c r="E22" s="22">
        <f>SUM(E17:E21)</f>
        <v/>
      </c>
      <c r="F22" s="22">
        <f>SUM(F17:F21)</f>
        <v/>
      </c>
      <c r="G22" s="22">
        <f>SUM(G17:G21)</f>
        <v/>
      </c>
      <c r="H22" s="23">
        <f>SUM(B22:G22)</f>
        <v/>
      </c>
    </row>
    <row r="23">
      <c r="A23" s="11" t="inlineStr">
        <is>
          <t>PV of Cash Flow (12%)</t>
        </is>
      </c>
      <c r="B23" s="24">
        <f>B22/(1+README_ASSUMPTIONS!$B$5)^0</f>
        <v/>
      </c>
      <c r="C23" s="24">
        <f>C22/(1+README_ASSUMPTIONS!$B$5)^1</f>
        <v/>
      </c>
      <c r="D23" s="24">
        <f>D22/(1+README_ASSUMPTIONS!$B$5)^2</f>
        <v/>
      </c>
      <c r="E23" s="24">
        <f>E22/(1+README_ASSUMPTIONS!$B$5)^3</f>
        <v/>
      </c>
      <c r="F23" s="24">
        <f>F22/(1+README_ASSUMPTIONS!$B$5)^4</f>
        <v/>
      </c>
      <c r="G23" s="24">
        <f>G22/(1+README_ASSUMPTIONS!$B$5)^5</f>
        <v/>
      </c>
      <c r="H23" s="25">
        <f>SUM(B23:G23)</f>
        <v/>
      </c>
    </row>
    <row r="24"/>
    <row r="25">
      <c r="A25" s="11" t="inlineStr">
        <is>
          <t>NPV (@ 12%):</t>
        </is>
      </c>
      <c r="B25" s="26">
        <f>SUM(B23:G23)</f>
        <v/>
      </c>
      <c r="D25" s="11" t="inlineStr">
        <is>
          <t>IRR:</t>
        </is>
      </c>
      <c r="E25" s="27">
        <f>IRR(B22:G22)</f>
        <v/>
      </c>
    </row>
    <row r="26"/>
    <row r="27">
      <c r="A27" s="11" t="inlineStr">
        <is>
          <t>Scenario C: Theoretical Ceiling (600 clients/pod — pitch claim)</t>
        </is>
      </c>
    </row>
    <row r="28">
      <c r="A28" s="3" t="inlineStr">
        <is>
          <t>Cash Flow Line (₹ Cr)</t>
        </is>
      </c>
      <c r="B28" s="3" t="inlineStr">
        <is>
          <t>Y0</t>
        </is>
      </c>
      <c r="C28" s="3" t="inlineStr">
        <is>
          <t>Y1</t>
        </is>
      </c>
      <c r="D28" s="3" t="inlineStr">
        <is>
          <t>Y2</t>
        </is>
      </c>
      <c r="E28" s="3" t="inlineStr">
        <is>
          <t>Y3</t>
        </is>
      </c>
      <c r="F28" s="3" t="inlineStr">
        <is>
          <t>Y4</t>
        </is>
      </c>
      <c r="G28" s="3" t="inlineStr">
        <is>
          <t>Y5</t>
        </is>
      </c>
      <c r="H28" s="3" t="inlineStr">
        <is>
          <t>Total</t>
        </is>
      </c>
    </row>
    <row r="29">
      <c r="A29" s="4" t="inlineStr">
        <is>
          <t>CapEx (System Build &amp; AA integration)</t>
        </is>
      </c>
      <c r="B29" s="16" t="n">
        <v>-20</v>
      </c>
      <c r="C29" s="16" t="n">
        <v>-25</v>
      </c>
      <c r="D29" s="16" t="n">
        <v>-30</v>
      </c>
      <c r="E29" s="16" t="n">
        <v>-25</v>
      </c>
      <c r="F29" s="16" t="n">
        <v>-20</v>
      </c>
      <c r="G29" s="16" t="n">
        <v>0</v>
      </c>
      <c r="H29" s="20">
        <f>SUM(B29:G29)</f>
        <v/>
      </c>
    </row>
    <row r="30">
      <c r="A30" s="4" t="inlineStr">
        <is>
          <t>OpEx (Cloud, Advisory Pod systems)</t>
        </is>
      </c>
      <c r="B30" s="16" t="n">
        <v>-15</v>
      </c>
      <c r="C30" s="16" t="n">
        <v>-15</v>
      </c>
      <c r="D30" s="16" t="n">
        <v>-15</v>
      </c>
      <c r="E30" s="16" t="n">
        <v>-15</v>
      </c>
      <c r="F30" s="16" t="n">
        <v>-15</v>
      </c>
      <c r="G30" s="16" t="n">
        <v>-15</v>
      </c>
      <c r="H30" s="20">
        <f>SUM(B30:G30)</f>
        <v/>
      </c>
    </row>
    <row r="31">
      <c r="A31" s="4" t="inlineStr">
        <is>
          <t>Compliance &amp; Audit overhead (SPARSH)</t>
        </is>
      </c>
      <c r="B31" s="16" t="n">
        <v>0</v>
      </c>
      <c r="C31" s="16" t="n">
        <v>-4</v>
      </c>
      <c r="D31" s="16" t="n">
        <v>-4</v>
      </c>
      <c r="E31" s="16" t="n">
        <v>-4</v>
      </c>
      <c r="F31" s="16" t="n">
        <v>-4</v>
      </c>
      <c r="G31" s="16" t="n">
        <v>-4</v>
      </c>
      <c r="H31" s="20">
        <f>SUM(B31:G31)</f>
        <v/>
      </c>
    </row>
    <row r="32">
      <c r="A32" s="4" t="inlineStr">
        <is>
          <t>Incremental advisory fee income</t>
        </is>
      </c>
      <c r="B32" s="16" t="n">
        <v>0</v>
      </c>
      <c r="C32" s="16" t="n">
        <v>30</v>
      </c>
      <c r="D32" s="16" t="n">
        <v>75</v>
      </c>
      <c r="E32" s="16" t="n">
        <v>135</v>
      </c>
      <c r="F32" s="16" t="n">
        <v>200</v>
      </c>
      <c r="G32" s="16" t="n">
        <v>280</v>
      </c>
      <c r="H32" s="20">
        <f>SUM(B32:G32)</f>
        <v/>
      </c>
    </row>
    <row r="33">
      <c r="A33" s="4" t="inlineStr">
        <is>
          <t>RM productivity monetization</t>
        </is>
      </c>
      <c r="B33" s="16" t="n">
        <v>0</v>
      </c>
      <c r="C33" s="16" t="n">
        <v>15</v>
      </c>
      <c r="D33" s="16" t="n">
        <v>35</v>
      </c>
      <c r="E33" s="16" t="n">
        <v>65</v>
      </c>
      <c r="F33" s="16" t="n">
        <v>100</v>
      </c>
      <c r="G33" s="16" t="n">
        <v>140</v>
      </c>
      <c r="H33" s="20">
        <f>SUM(B33:G33)</f>
        <v/>
      </c>
    </row>
    <row r="34">
      <c r="A34" s="21" t="inlineStr">
        <is>
          <t>Net Cash Flow</t>
        </is>
      </c>
      <c r="B34" s="22">
        <f>SUM(B29:B33)</f>
        <v/>
      </c>
      <c r="C34" s="22">
        <f>SUM(C29:C33)</f>
        <v/>
      </c>
      <c r="D34" s="22">
        <f>SUM(D29:D33)</f>
        <v/>
      </c>
      <c r="E34" s="22">
        <f>SUM(E29:E33)</f>
        <v/>
      </c>
      <c r="F34" s="22">
        <f>SUM(F29:F33)</f>
        <v/>
      </c>
      <c r="G34" s="22">
        <f>SUM(G29:G33)</f>
        <v/>
      </c>
      <c r="H34" s="23">
        <f>SUM(B34:G34)</f>
        <v/>
      </c>
    </row>
    <row r="35">
      <c r="A35" s="11" t="inlineStr">
        <is>
          <t>PV of Cash Flow (12%)</t>
        </is>
      </c>
      <c r="B35" s="24">
        <f>B34/(1+README_ASSUMPTIONS!$B$5)^0</f>
        <v/>
      </c>
      <c r="C35" s="24">
        <f>C34/(1+README_ASSUMPTIONS!$B$5)^1</f>
        <v/>
      </c>
      <c r="D35" s="24">
        <f>D34/(1+README_ASSUMPTIONS!$B$5)^2</f>
        <v/>
      </c>
      <c r="E35" s="24">
        <f>E34/(1+README_ASSUMPTIONS!$B$5)^3</f>
        <v/>
      </c>
      <c r="F35" s="24">
        <f>F34/(1+README_ASSUMPTIONS!$B$5)^4</f>
        <v/>
      </c>
      <c r="G35" s="24">
        <f>G34/(1+README_ASSUMPTIONS!$B$5)^5</f>
        <v/>
      </c>
      <c r="H35" s="25">
        <f>SUM(B35:G35)</f>
        <v/>
      </c>
    </row>
    <row r="36"/>
    <row r="37">
      <c r="A37" s="11" t="inlineStr">
        <is>
          <t>NPV (@ 12%):</t>
        </is>
      </c>
      <c r="B37" s="26">
        <f>SUM(B35:G35)</f>
        <v/>
      </c>
      <c r="D37" s="11" t="inlineStr">
        <is>
          <t>IRR:</t>
        </is>
      </c>
      <c r="E37" s="27">
        <f>IRR(B34:G34)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11" customWidth="1" min="2" max="2"/>
    <col width="16" customWidth="1" min="3" max="3"/>
    <col width="11" customWidth="1" min="4" max="4"/>
    <col width="11" customWidth="1" min="5" max="5"/>
  </cols>
  <sheetData>
    <row r="1">
      <c r="A1" s="8" t="inlineStr">
        <is>
          <t>NPV Sensitivity Analysis — Driver Grid (₹ Crores)</t>
        </is>
      </c>
    </row>
    <row r="2"/>
    <row r="3">
      <c r="A3" s="11" t="inlineStr">
        <is>
          <t>NPV sensitivity to fee bps vs. WACC (Realistic 150/pod base)</t>
        </is>
      </c>
    </row>
    <row r="4"/>
    <row r="5">
      <c r="A5" s="3" t="inlineStr">
        <is>
          <t>WACC / Fee Bps</t>
        </is>
      </c>
      <c r="B5" s="3" t="inlineStr">
        <is>
          <t>50 bps</t>
        </is>
      </c>
      <c r="C5" s="3" t="inlineStr">
        <is>
          <t>75 bps (Base)</t>
        </is>
      </c>
      <c r="D5" s="3" t="inlineStr">
        <is>
          <t>100 bps</t>
        </is>
      </c>
      <c r="E5" s="3" t="inlineStr">
        <is>
          <t>110 bps</t>
        </is>
      </c>
    </row>
    <row r="6">
      <c r="A6" s="4" t="inlineStr">
        <is>
          <t>10.0%</t>
        </is>
      </c>
      <c r="B6" s="28" t="n">
        <v>95.8</v>
      </c>
      <c r="C6" s="28" t="n">
        <v>142.4</v>
      </c>
      <c r="D6" s="28" t="n">
        <v>189</v>
      </c>
      <c r="E6" s="28" t="n">
        <v>207.6</v>
      </c>
    </row>
    <row r="7">
      <c r="A7" s="4" t="inlineStr">
        <is>
          <t>12.0% (Base)</t>
        </is>
      </c>
      <c r="B7" s="28" t="n">
        <v>88.5</v>
      </c>
      <c r="C7" s="29">
        <f>'PROJECT_ECONOMICS_v2'!B13</f>
        <v/>
      </c>
      <c r="D7" s="28" t="n">
        <v>175.4</v>
      </c>
      <c r="E7" s="28" t="n">
        <v>192.4</v>
      </c>
    </row>
    <row r="8">
      <c r="A8" s="4" t="inlineStr">
        <is>
          <t>14.0%</t>
        </is>
      </c>
      <c r="B8" s="28" t="n">
        <v>82.3</v>
      </c>
      <c r="C8" s="28" t="n">
        <v>123.5</v>
      </c>
      <c r="D8" s="28" t="n">
        <v>164.7</v>
      </c>
      <c r="E8" s="28" t="n">
        <v>180.2</v>
      </c>
    </row>
    <row r="9">
      <c r="A9" s="4" t="inlineStr">
        <is>
          <t>16.0%</t>
        </is>
      </c>
      <c r="B9" s="28" t="n">
        <v>76.40000000000001</v>
      </c>
      <c r="C9" s="28" t="n">
        <v>115.8</v>
      </c>
      <c r="D9" s="28" t="n">
        <v>153.2</v>
      </c>
      <c r="E9" s="28" t="n">
        <v>168.1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workbookViewId="0">
      <selection activeCell="A1" sqref="A1"/>
    </sheetView>
  </sheetViews>
  <sheetFormatPr baseColWidth="8" defaultRowHeight="15"/>
  <cols>
    <col width="54" customWidth="1" min="1" max="1"/>
    <col width="17" customWidth="1" min="2" max="2"/>
    <col width="15" customWidth="1" min="3" max="3"/>
    <col width="17" customWidth="1" min="4" max="4"/>
    <col width="87" customWidth="1" min="5" max="5"/>
  </cols>
  <sheetData>
    <row r="1">
      <c r="A1" s="8" t="inlineStr">
        <is>
          <t>Geographic Segments Comparison — 150/Pod Base Model</t>
        </is>
      </c>
    </row>
    <row r="2"/>
    <row r="3">
      <c r="A3" s="3" t="inlineStr">
        <is>
          <t>Economic Metric</t>
        </is>
      </c>
      <c r="B3" s="3" t="inlineStr">
        <is>
          <t>Metro (Tier 1)</t>
        </is>
      </c>
      <c r="C3" s="3" t="inlineStr">
        <is>
          <t>Tier 2 Spoke</t>
        </is>
      </c>
      <c r="D3" s="3" t="inlineStr">
        <is>
          <t>Tier 3/4 Spoke</t>
        </is>
      </c>
      <c r="E3" s="3" t="inlineStr">
        <is>
          <t>Segment Variance Rationale</t>
        </is>
      </c>
    </row>
    <row r="4">
      <c r="A4" s="4" t="inlineStr">
        <is>
          <t>Advisory Fee yield</t>
        </is>
      </c>
      <c r="B4" s="30" t="n">
        <v>0.0075</v>
      </c>
      <c r="C4" s="30" t="n">
        <v>0.007</v>
      </c>
      <c r="D4" s="30" t="n">
        <v>0.006</v>
      </c>
      <c r="E4" s="4" t="inlineStr">
        <is>
          <t>Slight margin pressure in regional segments due to ticket size distribution.</t>
        </is>
      </c>
    </row>
    <row r="5">
      <c r="A5" s="4" t="inlineStr">
        <is>
          <t>Client Retention rate</t>
        </is>
      </c>
      <c r="B5" s="31" t="n">
        <v>0.98</v>
      </c>
      <c r="C5" s="31" t="n">
        <v>0.96</v>
      </c>
      <c r="D5" s="31" t="n">
        <v>0.9399999999999999</v>
      </c>
      <c r="E5" s="4" t="inlineStr">
        <is>
          <t>Metro clients show higher asset lockup; Tier 3/4 shows localized switching friction.</t>
        </is>
      </c>
    </row>
    <row r="6">
      <c r="A6" s="4" t="inlineStr">
        <is>
          <t>AUM per Household (Avg)</t>
        </is>
      </c>
      <c r="B6" s="31" t="n">
        <v>12.5</v>
      </c>
      <c r="C6" s="31" t="n">
        <v>4.3</v>
      </c>
      <c r="D6" s="31" t="n">
        <v>1.8</v>
      </c>
      <c r="E6" s="4" t="inlineStr">
        <is>
          <t>Wealth values decrease in regional spokes, but customer volume is 4x higher.</t>
        </is>
      </c>
    </row>
    <row r="7">
      <c r="A7" s="4" t="inlineStr">
        <is>
          <t>Branch servicing overhead</t>
        </is>
      </c>
      <c r="B7" s="32" t="inlineStr">
        <is>
          <t>₹450</t>
        </is>
      </c>
      <c r="C7" s="32" t="inlineStr">
        <is>
          <t>₹120</t>
        </is>
      </c>
      <c r="D7" s="32" t="inlineStr">
        <is>
          <t>₹90</t>
        </is>
      </c>
      <c r="E7" s="4" t="inlineStr">
        <is>
          <t>Lower operational setup and real estate costs in Tier-2/3 spokes.</t>
        </is>
      </c>
    </row>
    <row r="8">
      <c r="A8" s="4" t="inlineStr">
        <is>
          <t>Onboarding TAT</t>
        </is>
      </c>
      <c r="B8" s="32" t="inlineStr">
        <is>
          <t>&lt; 5 min</t>
        </is>
      </c>
      <c r="C8" s="32" t="inlineStr">
        <is>
          <t>T+4 hrs</t>
        </is>
      </c>
      <c r="D8" s="32" t="inlineStr">
        <is>
          <t>T+4 hrs</t>
        </is>
      </c>
      <c r="E8" s="4" t="inlineStr">
        <is>
          <t>Completed virtually using centralized Advisory Hubs in metros.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64" customWidth="1" min="1" max="1"/>
    <col width="19" customWidth="1" min="2" max="2"/>
    <col width="26" customWidth="1" min="3" max="3"/>
    <col width="118" customWidth="1" min="4" max="4"/>
  </cols>
  <sheetData>
    <row r="1">
      <c r="A1" s="8" t="inlineStr">
        <is>
          <t>Metric Reconciliation — Pitch Deck vs. Rebuilt Feasibility v2</t>
        </is>
      </c>
    </row>
    <row r="2"/>
    <row r="3">
      <c r="A3" s="3" t="inlineStr">
        <is>
          <t>Operational Metric</t>
        </is>
      </c>
      <c r="B3" s="3" t="inlineStr">
        <is>
          <t>Slide Deck Pitch</t>
        </is>
      </c>
      <c r="C3" s="3" t="inlineStr">
        <is>
          <t>Grounded Feasibility v2</t>
        </is>
      </c>
      <c r="D3" s="3" t="inlineStr">
        <is>
          <t>Difference Rationale &amp; Industry Evidence</t>
        </is>
      </c>
    </row>
    <row r="4">
      <c r="A4" s="4" t="inlineStr">
        <is>
          <t>Pod Capacity</t>
        </is>
      </c>
      <c r="B4" s="10" t="n">
        <v>600</v>
      </c>
      <c r="C4" s="10" t="n">
        <v>150</v>
      </c>
      <c r="D4" s="4" t="inlineStr">
        <is>
          <t>Sum-of-caps error corrected. A pod-client interaction requires all roles; bottleneck is Relationship Partner (100).</t>
        </is>
      </c>
    </row>
    <row r="5">
      <c r="A5" s="4" t="inlineStr">
        <is>
          <t>Burgundy Pods Needed</t>
        </is>
      </c>
      <c r="B5" s="10" t="n">
        <v>1300</v>
      </c>
      <c r="C5" s="10" t="n">
        <v>5200</v>
      </c>
      <c r="D5" s="4" t="inlineStr">
        <is>
          <t>With 150/pod base capacity, we need 4x more pods to cover the 7.8 Lakh Burgundy customer base.</t>
        </is>
      </c>
    </row>
    <row r="6">
      <c r="A6" s="4" t="inlineStr">
        <is>
          <t>NPV (@ 12%)</t>
        </is>
      </c>
      <c r="B6" s="32" t="inlineStr">
        <is>
          <t>₹420 Cr</t>
        </is>
      </c>
      <c r="C6" s="32" t="inlineStr">
        <is>
          <t>₹132.7 Cr</t>
        </is>
      </c>
      <c r="D6" s="4" t="inlineStr">
        <is>
          <t>Adjusted to the 150 clients/pod capacity curve; project IRR of 21.4% remains viable.</t>
        </is>
      </c>
    </row>
    <row r="7">
      <c r="A7" s="4" t="inlineStr">
        <is>
          <t>WACC (Discount rate)</t>
        </is>
      </c>
      <c r="B7" s="32" t="inlineStr">
        <is>
          <t>9% / 12%</t>
        </is>
      </c>
      <c r="C7" s="32" t="inlineStr">
        <is>
          <t>12.0%</t>
        </is>
      </c>
      <c r="D7" s="4" t="inlineStr">
        <is>
          <t>Aligned to corporate standard cost of capital for private sector tech initiatives.</t>
        </is>
      </c>
    </row>
    <row r="8">
      <c r="A8" s="4" t="inlineStr">
        <is>
          <t>Cost-to-Serve optimization</t>
        </is>
      </c>
      <c r="B8" s="32" t="inlineStr">
        <is>
          <t>₹2,250</t>
        </is>
      </c>
      <c r="C8" s="32" t="inlineStr">
        <is>
          <t>₹2,250</t>
        </is>
      </c>
      <c r="D8" s="4" t="inlineStr">
        <is>
          <t>Cost-to-serve holds; RM prep-time compression is independent of overall pod scale.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2026-07-24T12:34:36Z</dcterms:created>
  <dcterms:modified xmlns:dcterms="http://purl.org/dc/terms/" xmlns:xsi="http://www.w3.org/2001/XMLSchema-instance" xsi:type="dcterms:W3CDTF">2026-07-24T12:34:36Z</dcterms:modified>
</cp:coreProperties>
</file>